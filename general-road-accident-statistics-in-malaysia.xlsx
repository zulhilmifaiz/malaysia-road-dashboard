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Terbuka\MIROS\"/>
    </mc:Choice>
  </mc:AlternateContent>
  <bookViews>
    <workbookView xWindow="0" yWindow="0" windowWidth="21600" windowHeight="9330"/>
  </bookViews>
  <sheets>
    <sheet name="1997-2017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2" l="1"/>
  <c r="I20" i="2"/>
  <c r="I21" i="2"/>
  <c r="I22" i="2"/>
  <c r="I23" i="2"/>
  <c r="I24" i="2"/>
  <c r="I18" i="2"/>
  <c r="I17" i="2"/>
  <c r="H21" i="2"/>
  <c r="H20" i="2"/>
  <c r="H19" i="2"/>
  <c r="H22" i="2"/>
  <c r="H23" i="2"/>
  <c r="H24" i="2"/>
  <c r="H18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</calcChain>
</file>

<file path=xl/sharedStrings.xml><?xml version="1.0" encoding="utf-8"?>
<sst xmlns="http://schemas.openxmlformats.org/spreadsheetml/2006/main" count="17" uniqueCount="15">
  <si>
    <t>Population</t>
  </si>
  <si>
    <t>Road Crashes</t>
  </si>
  <si>
    <t>Road Deaths</t>
  </si>
  <si>
    <t>Serious Injury</t>
  </si>
  <si>
    <t>Slight Injury</t>
  </si>
  <si>
    <t>Index per 100,000 Population</t>
  </si>
  <si>
    <t>Index per billion VKT</t>
  </si>
  <si>
    <t>Registered Vehicles</t>
  </si>
  <si>
    <t>Year</t>
  </si>
  <si>
    <t>TBA</t>
  </si>
  <si>
    <t>Index per 10,000 Vehicles</t>
  </si>
  <si>
    <t>Population statistics is obtained from Time Series Data from Department of Statistics website: (https://www.dosm.gov.my/v1/index.php?r=column/ctimeseries&amp;menu_id=NHJlaGc2Rlg4ZXlGTjh1SU1kaWY5UT09)                         accessed on 16th July 2018</t>
  </si>
  <si>
    <t xml:space="preserve">Source: Annual Report on Road Accident Statistics, Royal Malaysia Police </t>
  </si>
  <si>
    <t>TBA - to be announced in accordance with Annual Report on Road Accident Statistics 2017</t>
  </si>
  <si>
    <t>General Road Accident Statistics in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</si>
</sst>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3" fontId="0" fillId="0" borderId="0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left"/>
    </xf>
    <xf numFmtId="0" fontId="0" fillId="0" borderId="0" xfId="0" applyBorder="1" applyAlignment="1">
      <alignment wrapText="1"/>
    </xf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37" fontId="0" fillId="0" borderId="0" xfId="1" applyNumberFormat="1" applyFont="1" applyBorder="1" applyAlignment="1">
      <alignment horizontal="right"/>
    </xf>
    <xf numFmtId="1" fontId="0" fillId="0" borderId="0" xfId="1" applyNumberFormat="1" applyFont="1" applyBorder="1" applyAlignment="1"/>
    <xf numFmtId="37" fontId="0" fillId="0" borderId="0" xfId="1" applyNumberFormat="1" applyFont="1" applyAlignment="1">
      <alignment horizontal="right"/>
    </xf>
    <xf numFmtId="0" fontId="0" fillId="0" borderId="0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37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Normal="100" zoomScaleSheetLayoutView="100" workbookViewId="0">
      <selection sqref="A1:J1"/>
    </sheetView>
  </sheetViews>
  <sheetFormatPr defaultColWidth="8.7109375" defaultRowHeight="15" x14ac:dyDescent="0.25"/>
  <cols>
    <col min="1" max="1" width="8.7109375" style="4"/>
    <col min="2" max="2" width="19.140625" style="4" customWidth="1"/>
    <col min="3" max="3" width="20" style="4" customWidth="1"/>
    <col min="4" max="4" width="14.5703125" style="4" customWidth="1"/>
    <col min="5" max="5" width="21.42578125" style="4" customWidth="1"/>
    <col min="6" max="6" width="18.28515625" style="4" customWidth="1"/>
    <col min="7" max="7" width="17.7109375" style="4" customWidth="1"/>
    <col min="8" max="8" width="20.140625" style="4" customWidth="1"/>
    <col min="9" max="9" width="16.7109375" style="4" customWidth="1"/>
    <col min="10" max="10" width="18.85546875" style="4" customWidth="1"/>
    <col min="11" max="11" width="9.140625" style="4" customWidth="1"/>
    <col min="12" max="12" width="13.85546875" style="4" customWidth="1"/>
    <col min="13" max="16384" width="8.7109375" style="4"/>
  </cols>
  <sheetData>
    <row r="1" spans="1:12" x14ac:dyDescent="0.25">
      <c r="A1" s="19" t="s">
        <v>14</v>
      </c>
      <c r="B1" s="19"/>
      <c r="C1" s="19"/>
      <c r="D1" s="19"/>
      <c r="E1" s="19"/>
      <c r="F1" s="19"/>
      <c r="G1" s="19"/>
      <c r="H1" s="19"/>
      <c r="I1" s="19"/>
      <c r="J1" s="19"/>
    </row>
    <row r="3" spans="1:12" ht="39" customHeight="1" x14ac:dyDescent="0.25">
      <c r="A3" s="20" t="s">
        <v>8</v>
      </c>
      <c r="B3" s="21" t="s">
        <v>7</v>
      </c>
      <c r="C3" s="21" t="s">
        <v>0</v>
      </c>
      <c r="D3" s="21" t="s">
        <v>1</v>
      </c>
      <c r="E3" s="21" t="s">
        <v>2</v>
      </c>
      <c r="F3" s="21" t="s">
        <v>3</v>
      </c>
      <c r="G3" s="21" t="s">
        <v>4</v>
      </c>
      <c r="H3" s="21" t="s">
        <v>10</v>
      </c>
      <c r="I3" s="21" t="s">
        <v>5</v>
      </c>
      <c r="J3" s="21" t="s">
        <v>6</v>
      </c>
      <c r="K3" s="3"/>
    </row>
    <row r="4" spans="1:12" x14ac:dyDescent="0.25">
      <c r="A4" s="12">
        <v>1997</v>
      </c>
      <c r="B4" s="13">
        <v>8550469</v>
      </c>
      <c r="C4" s="13">
        <v>21769300</v>
      </c>
      <c r="D4" s="13">
        <v>215632</v>
      </c>
      <c r="E4" s="13">
        <v>6302</v>
      </c>
      <c r="F4" s="13">
        <v>14105</v>
      </c>
      <c r="G4" s="13">
        <v>36167</v>
      </c>
      <c r="H4" s="14">
        <f t="shared" ref="H4:H13" si="0">(E4/B4)*10000</f>
        <v>7.3703559418787439</v>
      </c>
      <c r="I4" s="14">
        <f t="shared" ref="I4:I13" si="1">(E4/C4)*100000</f>
        <v>28.949024543738201</v>
      </c>
      <c r="J4" s="14">
        <v>33.57</v>
      </c>
      <c r="K4" s="1"/>
    </row>
    <row r="5" spans="1:12" x14ac:dyDescent="0.25">
      <c r="A5" s="12">
        <v>1998</v>
      </c>
      <c r="B5" s="13">
        <v>9141357</v>
      </c>
      <c r="C5" s="13">
        <v>22333500</v>
      </c>
      <c r="D5" s="13">
        <v>211037</v>
      </c>
      <c r="E5" s="13">
        <v>5740</v>
      </c>
      <c r="F5" s="13">
        <v>12068</v>
      </c>
      <c r="G5" s="13">
        <v>37896</v>
      </c>
      <c r="H5" s="14">
        <f t="shared" si="0"/>
        <v>6.2791552720236181</v>
      </c>
      <c r="I5" s="14">
        <f t="shared" si="1"/>
        <v>25.70130073656167</v>
      </c>
      <c r="J5" s="14">
        <v>28.75</v>
      </c>
      <c r="K5" s="1"/>
    </row>
    <row r="6" spans="1:12" x14ac:dyDescent="0.25">
      <c r="A6" s="12">
        <v>1999</v>
      </c>
      <c r="B6" s="13">
        <v>9929951</v>
      </c>
      <c r="C6" s="13">
        <v>22909500</v>
      </c>
      <c r="D6" s="13">
        <v>223166</v>
      </c>
      <c r="E6" s="13">
        <v>5794</v>
      </c>
      <c r="F6" s="13">
        <v>10366</v>
      </c>
      <c r="G6" s="13">
        <v>36777</v>
      </c>
      <c r="H6" s="14">
        <f t="shared" si="0"/>
        <v>5.8348726997746514</v>
      </c>
      <c r="I6" s="14">
        <f t="shared" si="1"/>
        <v>25.290818219515923</v>
      </c>
      <c r="J6" s="14">
        <v>26.79</v>
      </c>
      <c r="K6" s="1"/>
    </row>
    <row r="7" spans="1:12" x14ac:dyDescent="0.25">
      <c r="A7" s="12">
        <v>2000</v>
      </c>
      <c r="B7" s="13">
        <v>10598804</v>
      </c>
      <c r="C7" s="13">
        <v>23494900</v>
      </c>
      <c r="D7" s="13">
        <v>250429</v>
      </c>
      <c r="E7" s="13">
        <v>6035</v>
      </c>
      <c r="F7" s="13">
        <v>9790</v>
      </c>
      <c r="G7" s="13">
        <v>34375</v>
      </c>
      <c r="H7" s="14">
        <f t="shared" si="0"/>
        <v>5.6940386858743679</v>
      </c>
      <c r="I7" s="14">
        <f t="shared" si="1"/>
        <v>25.686425564697021</v>
      </c>
      <c r="J7" s="14">
        <v>26.25</v>
      </c>
      <c r="K7" s="1"/>
    </row>
    <row r="8" spans="1:12" x14ac:dyDescent="0.25">
      <c r="A8" s="12">
        <v>2001</v>
      </c>
      <c r="B8" s="15">
        <v>11302545</v>
      </c>
      <c r="C8" s="15">
        <v>24030500</v>
      </c>
      <c r="D8" s="15">
        <v>265175</v>
      </c>
      <c r="E8" s="15">
        <v>5849</v>
      </c>
      <c r="F8" s="15">
        <v>8680</v>
      </c>
      <c r="G8" s="15">
        <v>35944</v>
      </c>
      <c r="H8" s="14">
        <f t="shared" si="0"/>
        <v>5.1749406881370525</v>
      </c>
      <c r="I8" s="14">
        <f t="shared" si="1"/>
        <v>24.339901375335511</v>
      </c>
      <c r="J8" s="14">
        <v>23.93</v>
      </c>
      <c r="K8" s="1"/>
    </row>
    <row r="9" spans="1:12" x14ac:dyDescent="0.25">
      <c r="A9" s="12">
        <v>2002</v>
      </c>
      <c r="B9" s="15">
        <v>12068144</v>
      </c>
      <c r="C9" s="15">
        <v>24542500</v>
      </c>
      <c r="D9" s="15">
        <v>279711</v>
      </c>
      <c r="E9" s="15">
        <v>5891</v>
      </c>
      <c r="F9" s="15">
        <v>8425</v>
      </c>
      <c r="G9" s="15">
        <v>35236</v>
      </c>
      <c r="H9" s="14">
        <f t="shared" si="0"/>
        <v>4.8814465588080491</v>
      </c>
      <c r="I9" s="14">
        <f t="shared" si="1"/>
        <v>24.003259651624735</v>
      </c>
      <c r="J9" s="14">
        <v>22.71</v>
      </c>
      <c r="K9" s="1"/>
    </row>
    <row r="10" spans="1:12" x14ac:dyDescent="0.25">
      <c r="A10" s="12">
        <v>2003</v>
      </c>
      <c r="B10" s="15">
        <v>12819248</v>
      </c>
      <c r="C10" s="13">
        <v>25038100</v>
      </c>
      <c r="D10" s="15">
        <v>298653</v>
      </c>
      <c r="E10" s="15">
        <v>6286</v>
      </c>
      <c r="F10" s="15">
        <v>9040</v>
      </c>
      <c r="G10" s="15">
        <v>37415</v>
      </c>
      <c r="H10" s="14">
        <f t="shared" si="0"/>
        <v>4.9035637659868971</v>
      </c>
      <c r="I10" s="14">
        <f t="shared" si="1"/>
        <v>25.105738853986526</v>
      </c>
      <c r="J10" s="14">
        <v>22.77</v>
      </c>
      <c r="K10" s="1"/>
    </row>
    <row r="11" spans="1:12" x14ac:dyDescent="0.25">
      <c r="A11" s="12">
        <v>2004</v>
      </c>
      <c r="B11" s="13">
        <v>13764837</v>
      </c>
      <c r="C11" s="13">
        <v>25541500</v>
      </c>
      <c r="D11" s="13">
        <v>326815</v>
      </c>
      <c r="E11" s="13">
        <v>6228</v>
      </c>
      <c r="F11" s="13">
        <v>9218</v>
      </c>
      <c r="G11" s="13">
        <v>38645</v>
      </c>
      <c r="H11" s="14">
        <f t="shared" si="0"/>
        <v>4.5245722851640018</v>
      </c>
      <c r="I11" s="14">
        <f t="shared" si="1"/>
        <v>24.383845897852517</v>
      </c>
      <c r="J11" s="14">
        <v>21.1</v>
      </c>
      <c r="K11" s="1"/>
    </row>
    <row r="12" spans="1:12" x14ac:dyDescent="0.25">
      <c r="A12" s="12">
        <v>2005</v>
      </c>
      <c r="B12" s="13">
        <v>14733585</v>
      </c>
      <c r="C12" s="13">
        <v>26045500</v>
      </c>
      <c r="D12" s="13">
        <v>328264</v>
      </c>
      <c r="E12" s="13">
        <v>6200</v>
      </c>
      <c r="F12" s="13">
        <v>9395</v>
      </c>
      <c r="G12" s="13">
        <v>31417</v>
      </c>
      <c r="H12" s="14">
        <f t="shared" si="0"/>
        <v>4.2080729164015409</v>
      </c>
      <c r="I12" s="14">
        <f t="shared" si="1"/>
        <v>23.804495978192008</v>
      </c>
      <c r="J12" s="14">
        <v>19.579999999999998</v>
      </c>
      <c r="K12" s="1"/>
    </row>
    <row r="13" spans="1:12" x14ac:dyDescent="0.25">
      <c r="A13" s="12">
        <v>2006</v>
      </c>
      <c r="B13" s="13">
        <v>15790732</v>
      </c>
      <c r="C13" s="13">
        <v>26549900</v>
      </c>
      <c r="D13" s="13">
        <v>341252</v>
      </c>
      <c r="E13" s="13">
        <v>6287</v>
      </c>
      <c r="F13" s="13">
        <v>9253</v>
      </c>
      <c r="G13" s="13">
        <v>19885</v>
      </c>
      <c r="H13" s="14">
        <f t="shared" si="0"/>
        <v>3.9814493716947381</v>
      </c>
      <c r="I13" s="14">
        <f t="shared" si="1"/>
        <v>23.679938530841927</v>
      </c>
      <c r="J13" s="14">
        <v>18.690000000000001</v>
      </c>
      <c r="K13" s="1"/>
    </row>
    <row r="14" spans="1:12" x14ac:dyDescent="0.25">
      <c r="A14" s="12">
        <v>2007</v>
      </c>
      <c r="B14" s="13">
        <v>16813943</v>
      </c>
      <c r="C14" s="13">
        <v>27058400</v>
      </c>
      <c r="D14" s="13">
        <v>363319</v>
      </c>
      <c r="E14" s="13">
        <v>6282</v>
      </c>
      <c r="F14" s="13">
        <v>9273</v>
      </c>
      <c r="G14" s="13">
        <v>18444</v>
      </c>
      <c r="H14" s="14">
        <f>(E14/B14)*10000</f>
        <v>3.7361849032080103</v>
      </c>
      <c r="I14" s="14">
        <f>(E14/C14)*100000</f>
        <v>23.216450344440172</v>
      </c>
      <c r="J14" s="14">
        <v>17.600000000000001</v>
      </c>
      <c r="K14" s="1"/>
    </row>
    <row r="15" spans="1:12" x14ac:dyDescent="0.25">
      <c r="A15" s="12">
        <v>2008</v>
      </c>
      <c r="B15" s="13">
        <v>17733084</v>
      </c>
      <c r="C15" s="13">
        <v>27567600</v>
      </c>
      <c r="D15" s="13">
        <v>373071</v>
      </c>
      <c r="E15" s="13">
        <v>6527</v>
      </c>
      <c r="F15" s="13">
        <v>8868</v>
      </c>
      <c r="G15" s="13">
        <v>16879</v>
      </c>
      <c r="H15" s="14">
        <f t="shared" ref="H15:H17" si="2">(E15/B15)*10000</f>
        <v>3.6806908488111825</v>
      </c>
      <c r="I15" s="14">
        <f t="shared" ref="I15:I16" si="3">(E15/C15)*100000</f>
        <v>23.676344694496439</v>
      </c>
      <c r="J15" s="14">
        <v>17.649999999999999</v>
      </c>
      <c r="K15" s="1"/>
    </row>
    <row r="16" spans="1:12" x14ac:dyDescent="0.25">
      <c r="A16" s="12">
        <v>2009</v>
      </c>
      <c r="B16" s="13">
        <v>18933237</v>
      </c>
      <c r="C16" s="13">
        <v>28081500</v>
      </c>
      <c r="D16" s="13">
        <v>397330</v>
      </c>
      <c r="E16" s="13">
        <v>6745</v>
      </c>
      <c r="F16" s="13">
        <v>8849</v>
      </c>
      <c r="G16" s="13">
        <v>15823</v>
      </c>
      <c r="H16" s="14">
        <f t="shared" si="2"/>
        <v>3.5625181261925789</v>
      </c>
      <c r="I16" s="14">
        <f t="shared" si="3"/>
        <v>24.019372184534301</v>
      </c>
      <c r="J16" s="14">
        <v>17.27</v>
      </c>
      <c r="K16" s="1"/>
      <c r="L16" s="7"/>
    </row>
    <row r="17" spans="1:14" x14ac:dyDescent="0.25">
      <c r="A17" s="12">
        <v>2010</v>
      </c>
      <c r="B17" s="13">
        <v>20006953</v>
      </c>
      <c r="C17" s="13">
        <v>28588600</v>
      </c>
      <c r="D17" s="13">
        <v>414421</v>
      </c>
      <c r="E17" s="13">
        <v>6872</v>
      </c>
      <c r="F17" s="13">
        <v>7781</v>
      </c>
      <c r="G17" s="13">
        <v>13616</v>
      </c>
      <c r="H17" s="14">
        <f t="shared" si="2"/>
        <v>3.4348058897324347</v>
      </c>
      <c r="I17" s="14">
        <f>(E17/C17)*100000</f>
        <v>24.037553430388336</v>
      </c>
      <c r="J17" s="14">
        <v>16.21</v>
      </c>
      <c r="K17" s="1"/>
      <c r="L17" s="8"/>
      <c r="N17" s="9"/>
    </row>
    <row r="18" spans="1:14" x14ac:dyDescent="0.25">
      <c r="A18" s="12">
        <v>2011</v>
      </c>
      <c r="B18" s="13">
        <v>21311630</v>
      </c>
      <c r="C18" s="15">
        <v>29062000</v>
      </c>
      <c r="D18" s="15">
        <v>449040</v>
      </c>
      <c r="E18" s="16">
        <v>6877</v>
      </c>
      <c r="F18" s="17">
        <v>6328</v>
      </c>
      <c r="G18" s="15">
        <v>12365</v>
      </c>
      <c r="H18" s="14">
        <f>(E18/B18)*10000</f>
        <v>3.2268765927336389</v>
      </c>
      <c r="I18" s="14">
        <f>(E18/C18)*100000</f>
        <v>23.663202807790242</v>
      </c>
      <c r="J18" s="14">
        <v>14.68</v>
      </c>
      <c r="K18" s="2"/>
      <c r="L18" s="8"/>
      <c r="N18" s="9"/>
    </row>
    <row r="19" spans="1:14" x14ac:dyDescent="0.25">
      <c r="A19" s="12">
        <v>2012</v>
      </c>
      <c r="B19" s="13">
        <v>22590123</v>
      </c>
      <c r="C19" s="15">
        <v>29510000</v>
      </c>
      <c r="D19" s="15">
        <v>462423</v>
      </c>
      <c r="E19" s="16">
        <v>6917</v>
      </c>
      <c r="F19" s="17">
        <v>5868</v>
      </c>
      <c r="G19" s="15">
        <v>11654</v>
      </c>
      <c r="H19" s="14">
        <f>(E19/B19)*10000</f>
        <v>3.0619576529087515</v>
      </c>
      <c r="I19" s="14">
        <f t="shared" ref="I19:I24" si="4">(E19/C19)*100000</f>
        <v>23.439512029820399</v>
      </c>
      <c r="J19" s="14">
        <v>13.35</v>
      </c>
      <c r="K19" s="2"/>
      <c r="L19" s="8"/>
      <c r="N19" s="9"/>
    </row>
    <row r="20" spans="1:14" x14ac:dyDescent="0.25">
      <c r="A20" s="12">
        <v>2013</v>
      </c>
      <c r="B20" s="13">
        <v>23434640</v>
      </c>
      <c r="C20" s="15">
        <v>30213700</v>
      </c>
      <c r="D20" s="15">
        <v>477204</v>
      </c>
      <c r="E20" s="16">
        <v>6915</v>
      </c>
      <c r="F20" s="17">
        <v>4597</v>
      </c>
      <c r="G20" s="17">
        <v>8388</v>
      </c>
      <c r="H20" s="14">
        <f>(E20/B20)*10000</f>
        <v>2.9507600714156479</v>
      </c>
      <c r="I20" s="14">
        <f t="shared" si="4"/>
        <v>22.886968494424714</v>
      </c>
      <c r="J20" s="14">
        <v>12.19</v>
      </c>
      <c r="K20" s="2"/>
      <c r="L20" s="8"/>
      <c r="N20" s="9"/>
    </row>
    <row r="21" spans="1:14" x14ac:dyDescent="0.25">
      <c r="A21" s="12">
        <v>2014</v>
      </c>
      <c r="B21" s="13">
        <v>25101192</v>
      </c>
      <c r="C21" s="15">
        <v>30708500</v>
      </c>
      <c r="D21" s="15">
        <v>476196</v>
      </c>
      <c r="E21" s="16">
        <v>6674</v>
      </c>
      <c r="F21" s="17">
        <v>4432</v>
      </c>
      <c r="G21" s="17">
        <v>8598</v>
      </c>
      <c r="H21" s="14">
        <f>(E21/B21)*10000</f>
        <v>2.658837875109676</v>
      </c>
      <c r="I21" s="14">
        <f t="shared" si="4"/>
        <v>21.733396290929221</v>
      </c>
      <c r="J21" s="14">
        <v>10.64</v>
      </c>
      <c r="K21" s="2"/>
      <c r="L21" s="8"/>
      <c r="N21" s="9"/>
    </row>
    <row r="22" spans="1:14" x14ac:dyDescent="0.25">
      <c r="A22" s="12">
        <v>2015</v>
      </c>
      <c r="B22" s="13">
        <v>26301952</v>
      </c>
      <c r="C22" s="15">
        <v>31186100</v>
      </c>
      <c r="D22" s="15">
        <v>489606</v>
      </c>
      <c r="E22" s="16">
        <v>6706</v>
      </c>
      <c r="F22" s="17">
        <v>4120</v>
      </c>
      <c r="G22" s="17">
        <v>7432</v>
      </c>
      <c r="H22" s="14">
        <f t="shared" ref="H22:H24" si="5">(E22/B22)*10000</f>
        <v>2.5496206517295747</v>
      </c>
      <c r="I22" s="14">
        <f t="shared" si="4"/>
        <v>21.503169681364454</v>
      </c>
      <c r="J22" s="14">
        <v>9.6</v>
      </c>
      <c r="K22" s="2"/>
      <c r="L22" s="8"/>
      <c r="N22" s="9"/>
    </row>
    <row r="23" spans="1:14" x14ac:dyDescent="0.25">
      <c r="A23" s="12">
        <v>2016</v>
      </c>
      <c r="B23" s="13">
        <v>27638067</v>
      </c>
      <c r="C23" s="15">
        <v>31633500</v>
      </c>
      <c r="D23" s="15">
        <v>521466</v>
      </c>
      <c r="E23" s="16">
        <v>7152</v>
      </c>
      <c r="F23" s="17">
        <v>4506</v>
      </c>
      <c r="G23" s="17">
        <v>7415</v>
      </c>
      <c r="H23" s="14">
        <f t="shared" si="5"/>
        <v>2.5877352421209485</v>
      </c>
      <c r="I23" s="14">
        <f t="shared" si="4"/>
        <v>22.608943050879606</v>
      </c>
      <c r="J23" s="14">
        <v>10.7</v>
      </c>
      <c r="K23" s="2"/>
      <c r="L23" s="8"/>
    </row>
    <row r="24" spans="1:14" x14ac:dyDescent="0.25">
      <c r="A24" s="12">
        <v>2017</v>
      </c>
      <c r="B24" s="13">
        <v>28738194</v>
      </c>
      <c r="C24" s="15">
        <v>32049700</v>
      </c>
      <c r="D24" s="18" t="s">
        <v>9</v>
      </c>
      <c r="E24" s="16">
        <v>6740</v>
      </c>
      <c r="F24" s="18" t="s">
        <v>9</v>
      </c>
      <c r="G24" s="18" t="s">
        <v>9</v>
      </c>
      <c r="H24" s="14">
        <f t="shared" si="5"/>
        <v>2.3453109127177583</v>
      </c>
      <c r="I24" s="14">
        <f t="shared" si="4"/>
        <v>21.029838032805301</v>
      </c>
      <c r="J24" s="14">
        <v>9.59</v>
      </c>
      <c r="K24" s="2"/>
    </row>
    <row r="25" spans="1:14" x14ac:dyDescent="0.25">
      <c r="A25" s="6"/>
      <c r="B25" s="2"/>
      <c r="C25" s="2"/>
      <c r="D25" s="2"/>
      <c r="E25" s="2"/>
      <c r="F25" s="2"/>
      <c r="G25" s="2"/>
      <c r="H25" s="2"/>
      <c r="I25" s="1"/>
      <c r="J25" s="2"/>
      <c r="K25" s="2"/>
    </row>
    <row r="26" spans="1:14" x14ac:dyDescent="0.25">
      <c r="A26" s="10" t="s">
        <v>12</v>
      </c>
      <c r="B26" s="10"/>
      <c r="C26" s="10"/>
      <c r="D26" s="10"/>
      <c r="E26" s="10"/>
      <c r="F26" s="10"/>
      <c r="G26" s="10"/>
      <c r="H26" s="10"/>
      <c r="I26" s="10"/>
      <c r="J26" s="10"/>
      <c r="K26" s="2"/>
    </row>
    <row r="27" spans="1:14" ht="26.1" customHeight="1" x14ac:dyDescent="0.25">
      <c r="A27" s="10" t="s">
        <v>11</v>
      </c>
      <c r="B27" s="10"/>
      <c r="C27" s="10"/>
      <c r="D27" s="10"/>
      <c r="E27" s="10"/>
      <c r="F27" s="10"/>
      <c r="G27" s="10"/>
      <c r="H27" s="10"/>
      <c r="I27" s="10"/>
      <c r="J27" s="10"/>
      <c r="K27" s="5"/>
    </row>
    <row r="28" spans="1:14" ht="24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5"/>
    </row>
    <row r="29" spans="1:14" x14ac:dyDescent="0.25">
      <c r="A29" s="10" t="s">
        <v>13</v>
      </c>
      <c r="B29" s="10"/>
      <c r="C29" s="10"/>
      <c r="D29" s="10"/>
      <c r="E29" s="10"/>
      <c r="F29" s="10"/>
      <c r="G29" s="10"/>
      <c r="H29" s="10"/>
      <c r="I29" s="10"/>
      <c r="J29" s="10"/>
      <c r="K29" s="5"/>
    </row>
    <row r="30" spans="1:14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4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</row>
  </sheetData>
  <mergeCells count="4">
    <mergeCell ref="A27:J28"/>
    <mergeCell ref="A26:J26"/>
    <mergeCell ref="A29:J29"/>
    <mergeCell ref="A1:J1"/>
  </mergeCell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1997-2017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Pool-1</dc:creator>
  <cp:lastModifiedBy>Ramlee Bin Atan</cp:lastModifiedBy>
  <cp:lastPrinted>2018-07-18T03:19:50Z</cp:lastPrinted>
  <dcterms:created xsi:type="dcterms:W3CDTF">2018-07-16T01:32:25Z</dcterms:created>
  <dcterms:modified xsi:type="dcterms:W3CDTF">2018-11-09T04:00:17Z</dcterms:modified>
</cp:coreProperties>
</file>